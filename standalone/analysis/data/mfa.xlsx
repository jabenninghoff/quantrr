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amemnon/GitHub/quantrr/standalone/analysis/data/"/>
    </mc:Choice>
  </mc:AlternateContent>
  <xr:revisionPtr revIDLastSave="0" documentId="13_ncr:1_{DADEB269-8333-C44C-A83F-B535B2096C74}" xr6:coauthVersionLast="47" xr6:coauthVersionMax="47" xr10:uidLastSave="{00000000-0000-0000-0000-000000000000}"/>
  <bookViews>
    <workbookView xWindow="60" yWindow="760" windowWidth="28040" windowHeight="17780" activeTab="2" xr2:uid="{48D4EEF9-DFA2-7C44-84E9-995A687A38D6}"/>
  </bookViews>
  <sheets>
    <sheet name="Risks" sheetId="2" r:id="rId1"/>
    <sheet name="Treatments" sheetId="3" r:id="rId2"/>
    <sheet name="Estimat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<sst xmlns="http://schemas.openxmlformats.org/spreadsheetml/2006/main" count="26" uniqueCount="18">
  <si>
    <t>Expert</t>
  </si>
  <si>
    <t>High (95%)</t>
  </si>
  <si>
    <t>Most Likely</t>
  </si>
  <si>
    <t>Frequency (per yer)</t>
  </si>
  <si>
    <t>Risk</t>
  </si>
  <si>
    <t>Description</t>
  </si>
  <si>
    <t>Cybersecurity Breach</t>
  </si>
  <si>
    <t>Treatment</t>
  </si>
  <si>
    <t>None</t>
  </si>
  <si>
    <t>Current system as it is today</t>
  </si>
  <si>
    <t>IRIS</t>
  </si>
  <si>
    <t>Paper</t>
  </si>
  <si>
    <t>Fully implement MFA for all accounts</t>
  </si>
  <si>
    <t>Risk of a cybersecurity breach</t>
  </si>
  <si>
    <t>Use MFA</t>
  </si>
  <si>
    <t>Use MFA (pessimistic)</t>
  </si>
  <si>
    <t>Use MFA (optomistic)</t>
  </si>
  <si>
    <t>Low (5%)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</si>
</sst>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0" fillId="0" borderId="0" xfId="0" applyNumberFormat="1"/>
    <xf numFmtId="10" fontId="1" fillId="0" borderId="1" xfId="1" applyNumberFormat="1" applyFont="1" applyBorder="1"/>
    <xf numFmtId="10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DE88-6BBE-BA4C-AA70-693FBC65F631}">
  <dimension ref="A1:B2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6" x14ac:dyDescent="0.2"/>
  <cols>
    <col min="1" max="1" width="20.83203125" customWidth="1"/>
    <col min="2" max="2" width="100.83203125" customWidth="1"/>
  </cols>
  <sheetData>
    <row r="1" spans="1:2" s="1" customFormat="1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F09A-DCBE-7C4C-8FF0-DDB28C82398C}">
  <dimension ref="A1:B3"/>
  <sheetViews>
    <sheetView workbookViewId="0">
      <pane ySplit="1" topLeftCell="A2" activePane="bottomLeft" state="frozen"/>
      <selection pane="bottomLeft" activeCell="A4" sqref="A4"/>
    </sheetView>
  </sheetViews>
  <sheetFormatPr baseColWidth="10" defaultRowHeight="16" x14ac:dyDescent="0.2"/>
  <cols>
    <col min="1" max="1" width="20.83203125" customWidth="1"/>
    <col min="2" max="2" width="100.83203125" customWidth="1"/>
  </cols>
  <sheetData>
    <row r="1" spans="1:2" s="1" customFormat="1" x14ac:dyDescent="0.2">
      <c r="A1" s="1" t="s">
        <v>7</v>
      </c>
      <c r="B1" s="1" t="s">
        <v>5</v>
      </c>
    </row>
    <row r="2" spans="1:2" x14ac:dyDescent="0.2">
      <c r="A2" t="s">
        <v>8</v>
      </c>
      <c r="B2" t="s">
        <v>9</v>
      </c>
    </row>
    <row r="3" spans="1:2" x14ac:dyDescent="0.2">
      <c r="A3" t="s">
        <v>14</v>
      </c>
      <c r="B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AE72-3968-D14E-B088-CF815841228E}">
  <dimension ref="A1:G4"/>
  <sheetViews>
    <sheetView tabSelected="1" workbookViewId="0">
      <pane ySplit="1" topLeftCell="A2" activePane="bottomLeft" state="frozen"/>
      <selection pane="bottomLeft" activeCell="A5" sqref="A5"/>
    </sheetView>
  </sheetViews>
  <sheetFormatPr baseColWidth="10" defaultRowHeight="16" x14ac:dyDescent="0.2"/>
  <cols>
    <col min="1" max="3" width="20.83203125" customWidth="1"/>
    <col min="4" max="4" width="20.83203125" style="5" customWidth="1"/>
    <col min="5" max="7" width="20.83203125" style="3" customWidth="1"/>
  </cols>
  <sheetData>
    <row r="1" spans="1:7" s="1" customFormat="1" x14ac:dyDescent="0.2">
      <c r="A1" s="1" t="s">
        <v>7</v>
      </c>
      <c r="B1" s="1" t="s">
        <v>4</v>
      </c>
      <c r="C1" s="1" t="s">
        <v>0</v>
      </c>
      <c r="D1" s="4" t="s">
        <v>3</v>
      </c>
      <c r="E1" s="2" t="s">
        <v>2</v>
      </c>
      <c r="F1" s="2" t="s">
        <v>1</v>
      </c>
      <c r="G1" s="2" t="s">
        <v>17</v>
      </c>
    </row>
    <row r="2" spans="1:7" x14ac:dyDescent="0.2">
      <c r="A2" t="s">
        <v>8</v>
      </c>
      <c r="B2" t="s">
        <v>6</v>
      </c>
      <c r="C2" t="s">
        <v>10</v>
      </c>
      <c r="D2" s="5">
        <v>7.4800000000000005E-2</v>
      </c>
      <c r="E2" s="3">
        <v>736000</v>
      </c>
      <c r="F2" s="3">
        <v>17000000</v>
      </c>
      <c r="G2" s="3">
        <v>31900</v>
      </c>
    </row>
    <row r="3" spans="1:7" x14ac:dyDescent="0.2">
      <c r="A3" t="s">
        <v>16</v>
      </c>
      <c r="B3" t="s">
        <v>6</v>
      </c>
      <c r="C3" t="s">
        <v>11</v>
      </c>
      <c r="D3" s="6">
        <f>D$2*(1-0.99)</f>
        <v>7.4800000000000073E-4</v>
      </c>
      <c r="E3" s="3">
        <v>736000</v>
      </c>
      <c r="F3" s="3">
        <v>17000000</v>
      </c>
      <c r="G3" s="3">
        <v>31900</v>
      </c>
    </row>
    <row r="4" spans="1:7" x14ac:dyDescent="0.2">
      <c r="A4" t="s">
        <v>15</v>
      </c>
      <c r="B4" t="s">
        <v>6</v>
      </c>
      <c r="C4" t="s">
        <v>11</v>
      </c>
      <c r="D4" s="6">
        <f>D$2*(1-0.76)</f>
        <v>1.7951999999999999E-2</v>
      </c>
      <c r="E4" s="3">
        <v>736000</v>
      </c>
      <c r="F4" s="3">
        <v>17000000</v>
      </c>
      <c r="G4" s="3">
        <v>31900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Risks</vt:lpstr>
      <vt:lpstr>Treatments</vt:lpstr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Benninghoff, John</dc:creator>
  <cp:lastModifiedBy>John Benninghoff</cp:lastModifiedBy>
  <dcterms:created xsi:type="dcterms:W3CDTF">2024-05-30T20:22:45Z</dcterms:created>
  <dcterms:modified xsi:type="dcterms:W3CDTF">2026-01-02T21:53:01Z</dcterms:modified>
</cp:coreProperties>
</file>